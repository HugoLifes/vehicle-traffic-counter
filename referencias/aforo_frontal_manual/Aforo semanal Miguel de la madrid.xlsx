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a Ingenieria\Desktop\AFOROS\Aforo blvd Miguel de la madrid\"/>
    </mc:Choice>
  </mc:AlternateContent>
  <xr:revisionPtr revIDLastSave="0" documentId="13_ncr:1_{F8BCFF1F-6538-4EC3-9664-298C1C372058}" xr6:coauthVersionLast="47" xr6:coauthVersionMax="47" xr10:uidLastSave="{00000000-0000-0000-0000-000000000000}"/>
  <bookViews>
    <workbookView xWindow="-120" yWindow="-120" windowWidth="24240" windowHeight="13020" xr2:uid="{846D2B02-BE44-4840-B7C4-60F84EA956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" i="1" l="1"/>
  <c r="M53" i="1"/>
  <c r="L53" i="1"/>
  <c r="K53" i="1"/>
  <c r="J53" i="1"/>
  <c r="G53" i="1"/>
  <c r="F53" i="1"/>
  <c r="E53" i="1"/>
  <c r="D53" i="1"/>
  <c r="C53" i="1"/>
  <c r="J54" i="1" l="1"/>
  <c r="C54" i="1"/>
</calcChain>
</file>

<file path=xl/sharedStrings.xml><?xml version="1.0" encoding="utf-8"?>
<sst xmlns="http://schemas.openxmlformats.org/spreadsheetml/2006/main" count="116" uniqueCount="59">
  <si>
    <t>Hr/Mov</t>
  </si>
  <si>
    <t>PTE-OTE</t>
  </si>
  <si>
    <t>A</t>
  </si>
  <si>
    <t>B</t>
  </si>
  <si>
    <t>C</t>
  </si>
  <si>
    <t>T-S</t>
  </si>
  <si>
    <t>T-S-R</t>
  </si>
  <si>
    <t>12:00 PM - 12:15 PM</t>
  </si>
  <si>
    <t>12:15 PM - 12:30 PM</t>
  </si>
  <si>
    <t>12:30 PM - 12:45 PM</t>
  </si>
  <si>
    <t>12:45 PM - 1:00 PM</t>
  </si>
  <si>
    <t>1:00 PM - 1:15 PM</t>
  </si>
  <si>
    <t>1:15 PM - 1:30 PM</t>
  </si>
  <si>
    <t>1:30 PM - 1:45 PM</t>
  </si>
  <si>
    <t>1:45 PM - 2:00 PM</t>
  </si>
  <si>
    <t>2:00 PM - 2:15 PM</t>
  </si>
  <si>
    <t>2:15 PM - 2:30 PM</t>
  </si>
  <si>
    <t>2:30 PM - 2:45 PM</t>
  </si>
  <si>
    <t>2:45 PM - 3:00 PM</t>
  </si>
  <si>
    <t>3:00 PM - 3:15 PM</t>
  </si>
  <si>
    <t>3:15 PM - 3:30 PM</t>
  </si>
  <si>
    <t>3:30 PM - 3:45 PM</t>
  </si>
  <si>
    <t>3:45 PM - 4:00 PM</t>
  </si>
  <si>
    <t>4:00 PM - 4:15 PM</t>
  </si>
  <si>
    <t>4:15 PM - 4:30 PM</t>
  </si>
  <si>
    <t>4:30 PM - 4:45 PM</t>
  </si>
  <si>
    <t>4:45 PM - 5:00 PM</t>
  </si>
  <si>
    <t>5:00 PM - 5:15 PM</t>
  </si>
  <si>
    <t>5:15 PM - 5:30 PM</t>
  </si>
  <si>
    <t>5:30 PM - 5:45 PM</t>
  </si>
  <si>
    <t>5:45 PM - 6:00 PM</t>
  </si>
  <si>
    <t>6:00 PM - 6:15 PM</t>
  </si>
  <si>
    <t>6:15 PM - 6:30 PM</t>
  </si>
  <si>
    <t>6:30 PM - 6:45 PM</t>
  </si>
  <si>
    <t>6:45 PM - 7:00 PM</t>
  </si>
  <si>
    <t>7:00 PM - 7:15 PM</t>
  </si>
  <si>
    <t>7:15 PM - 7:30 PM</t>
  </si>
  <si>
    <t>7:30 PM - 7:45 PM</t>
  </si>
  <si>
    <t>7:45 PM - 8:00 PM</t>
  </si>
  <si>
    <t>8:00 PM - 8:15 PM</t>
  </si>
  <si>
    <t>8:15 PM - 8:30 PM</t>
  </si>
  <si>
    <t>8:30 PM - 8:45 PM</t>
  </si>
  <si>
    <t>8:45 PM - 9:00 PM</t>
  </si>
  <si>
    <t>9:00 PM - 9:15 PM</t>
  </si>
  <si>
    <t>9:15 PM - 9:30 PM</t>
  </si>
  <si>
    <t>9:30 PM - 9:45 PM</t>
  </si>
  <si>
    <t>9:45 PM - 10:00 PM</t>
  </si>
  <si>
    <t>10:00 PM - 10:15 PM</t>
  </si>
  <si>
    <t>10:15 PM - 10:30 PM</t>
  </si>
  <si>
    <t>10:30 PM - 10:45 PM</t>
  </si>
  <si>
    <t>10:45 PM - 11:00 PM</t>
  </si>
  <si>
    <t>11:00 PM - 11:15 PM</t>
  </si>
  <si>
    <t>11:15 PM - 11:30 PM</t>
  </si>
  <si>
    <t>11:30 PM - 11:45 PM</t>
  </si>
  <si>
    <t>11:45 PM - 12:00 AM</t>
  </si>
  <si>
    <t>TOTAL</t>
  </si>
  <si>
    <t>TOTALES</t>
  </si>
  <si>
    <t>BLVD MIGUEL DE LA MADRID 19-SEPTIEMBRE-2026</t>
  </si>
  <si>
    <t>OTE-PTE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</si>
</sst>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0" fillId="3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4" borderId="8" xfId="0" applyFont="1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1" fillId="4" borderId="1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" fontId="1" fillId="3" borderId="5" xfId="0" applyNumberFormat="1" applyFont="1" applyFill="1" applyBorder="1" applyAlignment="1">
      <alignment horizontal="center"/>
    </xf>
    <xf numFmtId="16" fontId="1" fillId="3" borderId="6" xfId="0" applyNumberFormat="1" applyFont="1" applyFill="1" applyBorder="1" applyAlignment="1">
      <alignment horizontal="center"/>
    </xf>
    <xf numFmtId="16" fontId="1" fillId="3" borderId="7" xfId="0" applyNumberFormat="1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1DBF-F933-4947-BAFE-59172FD279B0}">
  <dimension ref="B1:N54"/>
  <sheetViews>
    <sheetView tabSelected="1" topLeftCell="A10" workbookViewId="0">
      <selection activeCell="C33" sqref="C33"/>
    </sheetView>
  </sheetViews>
  <sheetFormatPr baseColWidth="10" defaultRowHeight="15" x14ac:dyDescent="0.25"/>
  <cols>
    <col min="2" max="2" width="19.140625" customWidth="1"/>
    <col min="3" max="3" width="5.28515625" customWidth="1"/>
    <col min="4" max="4" width="5" customWidth="1"/>
    <col min="5" max="5" width="5.42578125" customWidth="1"/>
    <col min="6" max="6" width="5.5703125" customWidth="1"/>
    <col min="7" max="7" width="6.140625" customWidth="1"/>
    <col min="9" max="9" width="19" customWidth="1"/>
    <col min="10" max="10" width="5.140625" customWidth="1"/>
    <col min="11" max="11" width="5.42578125" customWidth="1"/>
    <col min="12" max="12" width="5.7109375" customWidth="1"/>
    <col min="13" max="13" width="6" customWidth="1"/>
    <col min="14" max="14" width="5.85546875" customWidth="1"/>
  </cols>
  <sheetData>
    <row r="1" spans="2:14" ht="15.75" thickBot="1" x14ac:dyDescent="0.3"/>
    <row r="2" spans="2:14" ht="15.75" thickBot="1" x14ac:dyDescent="0.3">
      <c r="B2" s="16" t="s">
        <v>57</v>
      </c>
      <c r="C2" s="17"/>
      <c r="D2" s="17"/>
      <c r="E2" s="17"/>
      <c r="F2" s="17"/>
      <c r="G2" s="18"/>
      <c r="I2" s="16" t="s">
        <v>57</v>
      </c>
      <c r="J2" s="17"/>
      <c r="K2" s="17"/>
      <c r="L2" s="17"/>
      <c r="M2" s="17"/>
      <c r="N2" s="18"/>
    </row>
    <row r="3" spans="2:14" x14ac:dyDescent="0.25">
      <c r="B3" s="19" t="s">
        <v>0</v>
      </c>
      <c r="C3" s="21" t="s">
        <v>1</v>
      </c>
      <c r="D3" s="22"/>
      <c r="E3" s="22"/>
      <c r="F3" s="22"/>
      <c r="G3" s="23"/>
      <c r="I3" s="19" t="s">
        <v>0</v>
      </c>
      <c r="J3" s="21" t="s">
        <v>58</v>
      </c>
      <c r="K3" s="22"/>
      <c r="L3" s="22"/>
      <c r="M3" s="22"/>
      <c r="N3" s="23"/>
    </row>
    <row r="4" spans="2:14" x14ac:dyDescent="0.25">
      <c r="B4" s="20"/>
      <c r="C4" s="1" t="s">
        <v>2</v>
      </c>
      <c r="D4" s="2" t="s">
        <v>3</v>
      </c>
      <c r="E4" s="3" t="s">
        <v>4</v>
      </c>
      <c r="F4" s="3" t="s">
        <v>5</v>
      </c>
      <c r="G4" s="4" t="s">
        <v>6</v>
      </c>
      <c r="I4" s="20"/>
      <c r="J4" s="1" t="s">
        <v>2</v>
      </c>
      <c r="K4" s="2" t="s">
        <v>3</v>
      </c>
      <c r="L4" s="3" t="s">
        <v>4</v>
      </c>
      <c r="M4" s="3" t="s">
        <v>5</v>
      </c>
      <c r="N4" s="4" t="s">
        <v>6</v>
      </c>
    </row>
    <row r="5" spans="2:14" x14ac:dyDescent="0.25">
      <c r="B5" s="5" t="s">
        <v>7</v>
      </c>
      <c r="C5" s="6">
        <v>167</v>
      </c>
      <c r="D5" s="7">
        <v>4</v>
      </c>
      <c r="E5" s="8">
        <v>1</v>
      </c>
      <c r="F5" s="8">
        <v>10</v>
      </c>
      <c r="G5" s="9">
        <v>0</v>
      </c>
      <c r="I5" s="5" t="s">
        <v>7</v>
      </c>
      <c r="J5" s="6">
        <v>230</v>
      </c>
      <c r="K5" s="7">
        <v>3</v>
      </c>
      <c r="L5" s="8">
        <v>12</v>
      </c>
      <c r="M5" s="8">
        <v>6</v>
      </c>
      <c r="N5" s="9">
        <v>1</v>
      </c>
    </row>
    <row r="6" spans="2:14" x14ac:dyDescent="0.25">
      <c r="B6" s="5" t="s">
        <v>8</v>
      </c>
      <c r="C6" s="6">
        <v>178</v>
      </c>
      <c r="D6" s="7">
        <v>0</v>
      </c>
      <c r="E6" s="8">
        <v>4</v>
      </c>
      <c r="F6" s="8">
        <v>13</v>
      </c>
      <c r="G6" s="9">
        <v>0</v>
      </c>
      <c r="I6" s="5" t="s">
        <v>8</v>
      </c>
      <c r="J6" s="6">
        <v>210</v>
      </c>
      <c r="K6" s="7">
        <v>1</v>
      </c>
      <c r="L6" s="8">
        <v>10</v>
      </c>
      <c r="M6" s="8">
        <v>7</v>
      </c>
      <c r="N6" s="9">
        <v>0</v>
      </c>
    </row>
    <row r="7" spans="2:14" x14ac:dyDescent="0.25">
      <c r="B7" s="5" t="s">
        <v>9</v>
      </c>
      <c r="C7" s="6">
        <v>197</v>
      </c>
      <c r="D7" s="7">
        <v>3</v>
      </c>
      <c r="E7" s="8">
        <v>3</v>
      </c>
      <c r="F7" s="8">
        <v>6</v>
      </c>
      <c r="G7" s="9">
        <v>0</v>
      </c>
      <c r="I7" s="5" t="s">
        <v>9</v>
      </c>
      <c r="J7" s="6">
        <v>232</v>
      </c>
      <c r="K7" s="7">
        <v>2</v>
      </c>
      <c r="L7" s="8">
        <v>10</v>
      </c>
      <c r="M7" s="8">
        <v>2</v>
      </c>
      <c r="N7" s="9">
        <v>0</v>
      </c>
    </row>
    <row r="8" spans="2:14" x14ac:dyDescent="0.25">
      <c r="B8" s="5" t="s">
        <v>10</v>
      </c>
      <c r="C8" s="6">
        <v>170</v>
      </c>
      <c r="D8" s="7">
        <v>0</v>
      </c>
      <c r="E8" s="8">
        <v>4</v>
      </c>
      <c r="F8" s="8">
        <v>7</v>
      </c>
      <c r="G8" s="9">
        <v>0</v>
      </c>
      <c r="I8" s="5" t="s">
        <v>10</v>
      </c>
      <c r="J8" s="6">
        <v>221</v>
      </c>
      <c r="K8" s="7">
        <v>0</v>
      </c>
      <c r="L8" s="8">
        <v>13</v>
      </c>
      <c r="M8" s="8">
        <v>1</v>
      </c>
      <c r="N8" s="9">
        <v>0</v>
      </c>
    </row>
    <row r="9" spans="2:14" x14ac:dyDescent="0.25">
      <c r="B9" s="5" t="s">
        <v>11</v>
      </c>
      <c r="C9" s="6">
        <v>172</v>
      </c>
      <c r="D9" s="7">
        <v>1</v>
      </c>
      <c r="E9" s="8">
        <v>2</v>
      </c>
      <c r="F9" s="8">
        <v>5</v>
      </c>
      <c r="G9" s="9">
        <v>0</v>
      </c>
      <c r="I9" s="5" t="s">
        <v>11</v>
      </c>
      <c r="J9" s="6">
        <v>236</v>
      </c>
      <c r="K9" s="7">
        <v>4</v>
      </c>
      <c r="L9" s="8">
        <v>3</v>
      </c>
      <c r="M9" s="8">
        <v>5</v>
      </c>
      <c r="N9" s="9">
        <v>0</v>
      </c>
    </row>
    <row r="10" spans="2:14" x14ac:dyDescent="0.25">
      <c r="B10" s="5" t="s">
        <v>12</v>
      </c>
      <c r="C10" s="6">
        <v>202</v>
      </c>
      <c r="D10" s="7">
        <v>6</v>
      </c>
      <c r="E10" s="8">
        <v>1</v>
      </c>
      <c r="F10" s="8">
        <v>10</v>
      </c>
      <c r="G10" s="9">
        <v>0</v>
      </c>
      <c r="I10" s="5" t="s">
        <v>12</v>
      </c>
      <c r="J10" s="6">
        <v>251</v>
      </c>
      <c r="K10" s="7">
        <v>7</v>
      </c>
      <c r="L10" s="8">
        <v>9</v>
      </c>
      <c r="M10" s="8">
        <v>0</v>
      </c>
      <c r="N10" s="9">
        <v>0</v>
      </c>
    </row>
    <row r="11" spans="2:14" x14ac:dyDescent="0.25">
      <c r="B11" s="5" t="s">
        <v>13</v>
      </c>
      <c r="C11" s="6">
        <v>205</v>
      </c>
      <c r="D11" s="7">
        <v>3</v>
      </c>
      <c r="E11" s="8">
        <v>5</v>
      </c>
      <c r="F11" s="8">
        <v>8</v>
      </c>
      <c r="G11" s="9">
        <v>0</v>
      </c>
      <c r="I11" s="5" t="s">
        <v>13</v>
      </c>
      <c r="J11" s="6">
        <v>219</v>
      </c>
      <c r="K11" s="7">
        <v>1</v>
      </c>
      <c r="L11" s="8">
        <v>3</v>
      </c>
      <c r="M11" s="8">
        <v>0</v>
      </c>
      <c r="N11" s="9">
        <v>0</v>
      </c>
    </row>
    <row r="12" spans="2:14" x14ac:dyDescent="0.25">
      <c r="B12" s="5" t="s">
        <v>14</v>
      </c>
      <c r="C12" s="6">
        <v>202</v>
      </c>
      <c r="D12" s="7">
        <v>4</v>
      </c>
      <c r="E12" s="8">
        <v>3</v>
      </c>
      <c r="F12" s="8">
        <v>5</v>
      </c>
      <c r="G12" s="9">
        <v>0</v>
      </c>
      <c r="I12" s="5" t="s">
        <v>14</v>
      </c>
      <c r="J12" s="6">
        <v>257</v>
      </c>
      <c r="K12" s="7">
        <v>6</v>
      </c>
      <c r="L12" s="8">
        <v>3</v>
      </c>
      <c r="M12" s="8">
        <v>2</v>
      </c>
      <c r="N12" s="9">
        <v>0</v>
      </c>
    </row>
    <row r="13" spans="2:14" x14ac:dyDescent="0.25">
      <c r="B13" s="5" t="s">
        <v>15</v>
      </c>
      <c r="C13" s="6">
        <v>215</v>
      </c>
      <c r="D13" s="7">
        <v>5</v>
      </c>
      <c r="E13" s="8">
        <v>3</v>
      </c>
      <c r="F13" s="8">
        <v>9</v>
      </c>
      <c r="G13" s="9">
        <v>0</v>
      </c>
      <c r="I13" s="5" t="s">
        <v>15</v>
      </c>
      <c r="J13" s="6">
        <v>233</v>
      </c>
      <c r="K13" s="7">
        <v>12</v>
      </c>
      <c r="L13" s="8">
        <v>5</v>
      </c>
      <c r="M13" s="8">
        <v>2</v>
      </c>
      <c r="N13" s="9">
        <v>0</v>
      </c>
    </row>
    <row r="14" spans="2:14" x14ac:dyDescent="0.25">
      <c r="B14" s="5" t="s">
        <v>16</v>
      </c>
      <c r="C14" s="6">
        <v>206</v>
      </c>
      <c r="D14" s="7">
        <v>3</v>
      </c>
      <c r="E14" s="8">
        <v>3</v>
      </c>
      <c r="F14" s="8">
        <v>2</v>
      </c>
      <c r="G14" s="9">
        <v>0</v>
      </c>
      <c r="I14" s="5" t="s">
        <v>16</v>
      </c>
      <c r="J14" s="6">
        <v>236</v>
      </c>
      <c r="K14" s="7">
        <v>12</v>
      </c>
      <c r="L14" s="8">
        <v>5</v>
      </c>
      <c r="M14" s="8">
        <v>1</v>
      </c>
      <c r="N14" s="9">
        <v>0</v>
      </c>
    </row>
    <row r="15" spans="2:14" x14ac:dyDescent="0.25">
      <c r="B15" s="5" t="s">
        <v>17</v>
      </c>
      <c r="C15" s="6">
        <v>211</v>
      </c>
      <c r="D15" s="7">
        <v>8</v>
      </c>
      <c r="E15" s="8">
        <v>4</v>
      </c>
      <c r="F15" s="8">
        <v>3</v>
      </c>
      <c r="G15" s="9">
        <v>0</v>
      </c>
      <c r="I15" s="5" t="s">
        <v>17</v>
      </c>
      <c r="J15" s="6">
        <v>212</v>
      </c>
      <c r="K15" s="7">
        <v>8</v>
      </c>
      <c r="L15" s="8">
        <v>0</v>
      </c>
      <c r="M15" s="8">
        <v>1</v>
      </c>
      <c r="N15" s="9">
        <v>0</v>
      </c>
    </row>
    <row r="16" spans="2:14" x14ac:dyDescent="0.25">
      <c r="B16" s="5" t="s">
        <v>18</v>
      </c>
      <c r="C16" s="6">
        <v>221</v>
      </c>
      <c r="D16" s="7">
        <v>5</v>
      </c>
      <c r="E16" s="8">
        <v>4</v>
      </c>
      <c r="F16" s="8">
        <v>1</v>
      </c>
      <c r="G16" s="9">
        <v>0</v>
      </c>
      <c r="I16" s="5" t="s">
        <v>18</v>
      </c>
      <c r="J16" s="6">
        <v>255</v>
      </c>
      <c r="K16" s="7">
        <v>3</v>
      </c>
      <c r="L16" s="8">
        <v>6</v>
      </c>
      <c r="M16" s="8">
        <v>1</v>
      </c>
      <c r="N16" s="9">
        <v>0</v>
      </c>
    </row>
    <row r="17" spans="2:14" x14ac:dyDescent="0.25">
      <c r="B17" s="5" t="s">
        <v>19</v>
      </c>
      <c r="C17" s="6">
        <v>209</v>
      </c>
      <c r="D17" s="7">
        <v>5</v>
      </c>
      <c r="E17" s="8">
        <v>3</v>
      </c>
      <c r="F17" s="8">
        <v>0</v>
      </c>
      <c r="G17" s="9">
        <v>0</v>
      </c>
      <c r="I17" s="5" t="s">
        <v>19</v>
      </c>
      <c r="J17" s="6">
        <v>247</v>
      </c>
      <c r="K17" s="7">
        <v>6</v>
      </c>
      <c r="L17" s="8">
        <v>2</v>
      </c>
      <c r="M17" s="8">
        <v>2</v>
      </c>
      <c r="N17" s="9">
        <v>0</v>
      </c>
    </row>
    <row r="18" spans="2:14" x14ac:dyDescent="0.25">
      <c r="B18" s="5" t="s">
        <v>20</v>
      </c>
      <c r="C18" s="6">
        <v>211</v>
      </c>
      <c r="D18" s="7">
        <v>11</v>
      </c>
      <c r="E18" s="8">
        <v>2</v>
      </c>
      <c r="F18" s="8">
        <v>1</v>
      </c>
      <c r="G18" s="9">
        <v>0</v>
      </c>
      <c r="I18" s="5" t="s">
        <v>20</v>
      </c>
      <c r="J18" s="6">
        <v>228</v>
      </c>
      <c r="K18" s="7">
        <v>0</v>
      </c>
      <c r="L18" s="8">
        <v>2</v>
      </c>
      <c r="M18" s="8">
        <v>2</v>
      </c>
      <c r="N18" s="9">
        <v>0</v>
      </c>
    </row>
    <row r="19" spans="2:14" x14ac:dyDescent="0.25">
      <c r="B19" s="5" t="s">
        <v>21</v>
      </c>
      <c r="C19" s="6">
        <v>242</v>
      </c>
      <c r="D19" s="7">
        <v>13</v>
      </c>
      <c r="E19" s="8">
        <v>4</v>
      </c>
      <c r="F19" s="8">
        <v>2</v>
      </c>
      <c r="G19" s="9">
        <v>0</v>
      </c>
      <c r="I19" s="5" t="s">
        <v>21</v>
      </c>
      <c r="J19" s="6">
        <v>255</v>
      </c>
      <c r="K19" s="7">
        <v>8</v>
      </c>
      <c r="L19" s="8">
        <v>5</v>
      </c>
      <c r="M19" s="8">
        <v>1</v>
      </c>
      <c r="N19" s="9">
        <v>0</v>
      </c>
    </row>
    <row r="20" spans="2:14" x14ac:dyDescent="0.25">
      <c r="B20" s="5" t="s">
        <v>22</v>
      </c>
      <c r="C20" s="6">
        <v>242</v>
      </c>
      <c r="D20" s="7">
        <v>11</v>
      </c>
      <c r="E20" s="8">
        <v>0</v>
      </c>
      <c r="F20" s="8">
        <v>1</v>
      </c>
      <c r="G20" s="9">
        <v>0</v>
      </c>
      <c r="I20" s="5" t="s">
        <v>22</v>
      </c>
      <c r="J20" s="6">
        <v>262</v>
      </c>
      <c r="K20" s="7">
        <v>8</v>
      </c>
      <c r="L20" s="8">
        <v>2</v>
      </c>
      <c r="M20" s="8">
        <v>7</v>
      </c>
      <c r="N20" s="9">
        <v>0</v>
      </c>
    </row>
    <row r="21" spans="2:14" x14ac:dyDescent="0.25">
      <c r="B21" s="5" t="s">
        <v>23</v>
      </c>
      <c r="C21" s="6">
        <v>269</v>
      </c>
      <c r="D21" s="7">
        <v>5</v>
      </c>
      <c r="E21" s="8">
        <v>2</v>
      </c>
      <c r="F21" s="8">
        <v>2</v>
      </c>
      <c r="G21" s="9">
        <v>0</v>
      </c>
      <c r="I21" s="5" t="s">
        <v>23</v>
      </c>
      <c r="J21" s="6">
        <v>220</v>
      </c>
      <c r="K21" s="7">
        <v>4</v>
      </c>
      <c r="L21" s="8">
        <v>3</v>
      </c>
      <c r="M21" s="8">
        <v>3</v>
      </c>
      <c r="N21" s="9">
        <v>0</v>
      </c>
    </row>
    <row r="22" spans="2:14" x14ac:dyDescent="0.25">
      <c r="B22" s="5" t="s">
        <v>24</v>
      </c>
      <c r="C22" s="6">
        <v>259</v>
      </c>
      <c r="D22" s="7">
        <v>16</v>
      </c>
      <c r="E22" s="8">
        <v>0</v>
      </c>
      <c r="F22" s="8">
        <v>1</v>
      </c>
      <c r="G22" s="9">
        <v>0</v>
      </c>
      <c r="I22" s="5" t="s">
        <v>24</v>
      </c>
      <c r="J22" s="6">
        <v>191</v>
      </c>
      <c r="K22" s="7">
        <v>2</v>
      </c>
      <c r="L22" s="8">
        <v>1</v>
      </c>
      <c r="M22" s="8">
        <v>2</v>
      </c>
      <c r="N22" s="9">
        <v>0</v>
      </c>
    </row>
    <row r="23" spans="2:14" x14ac:dyDescent="0.25">
      <c r="B23" s="5" t="s">
        <v>25</v>
      </c>
      <c r="C23" s="6">
        <v>265</v>
      </c>
      <c r="D23" s="7">
        <v>13</v>
      </c>
      <c r="E23" s="8">
        <v>1</v>
      </c>
      <c r="F23" s="8">
        <v>1</v>
      </c>
      <c r="G23" s="9">
        <v>0</v>
      </c>
      <c r="I23" s="5" t="s">
        <v>25</v>
      </c>
      <c r="J23" s="6">
        <v>220</v>
      </c>
      <c r="K23" s="7">
        <v>8</v>
      </c>
      <c r="L23" s="8">
        <v>1</v>
      </c>
      <c r="M23" s="8">
        <v>0</v>
      </c>
      <c r="N23" s="9">
        <v>0</v>
      </c>
    </row>
    <row r="24" spans="2:14" x14ac:dyDescent="0.25">
      <c r="B24" s="5" t="s">
        <v>26</v>
      </c>
      <c r="C24" s="6">
        <v>248</v>
      </c>
      <c r="D24" s="7">
        <v>9</v>
      </c>
      <c r="E24" s="8">
        <v>0</v>
      </c>
      <c r="F24" s="8">
        <v>0</v>
      </c>
      <c r="G24" s="9">
        <v>0</v>
      </c>
      <c r="I24" s="5" t="s">
        <v>26</v>
      </c>
      <c r="J24" s="6">
        <v>197</v>
      </c>
      <c r="K24" s="7">
        <v>8</v>
      </c>
      <c r="L24" s="8">
        <v>2</v>
      </c>
      <c r="M24" s="8">
        <v>0</v>
      </c>
      <c r="N24" s="9">
        <v>0</v>
      </c>
    </row>
    <row r="25" spans="2:14" x14ac:dyDescent="0.25">
      <c r="B25" s="5" t="s">
        <v>27</v>
      </c>
      <c r="C25" s="6">
        <v>236</v>
      </c>
      <c r="D25" s="7">
        <v>9</v>
      </c>
      <c r="E25" s="8">
        <v>5</v>
      </c>
      <c r="F25" s="8">
        <v>0</v>
      </c>
      <c r="G25" s="9">
        <v>0</v>
      </c>
      <c r="I25" s="5" t="s">
        <v>27</v>
      </c>
      <c r="J25" s="6">
        <v>241</v>
      </c>
      <c r="K25" s="7">
        <v>10</v>
      </c>
      <c r="L25" s="8">
        <v>5</v>
      </c>
      <c r="M25" s="8">
        <v>0</v>
      </c>
      <c r="N25" s="9">
        <v>0</v>
      </c>
    </row>
    <row r="26" spans="2:14" x14ac:dyDescent="0.25">
      <c r="B26" s="5" t="s">
        <v>28</v>
      </c>
      <c r="C26" s="6">
        <v>239</v>
      </c>
      <c r="D26" s="7">
        <v>13</v>
      </c>
      <c r="E26" s="8">
        <v>0</v>
      </c>
      <c r="F26" s="8">
        <v>1</v>
      </c>
      <c r="G26" s="9">
        <v>0</v>
      </c>
      <c r="I26" s="5" t="s">
        <v>28</v>
      </c>
      <c r="J26" s="6">
        <v>236</v>
      </c>
      <c r="K26" s="7">
        <v>8</v>
      </c>
      <c r="L26" s="8">
        <v>4</v>
      </c>
      <c r="M26" s="8">
        <v>0</v>
      </c>
      <c r="N26" s="9">
        <v>0</v>
      </c>
    </row>
    <row r="27" spans="2:14" x14ac:dyDescent="0.25">
      <c r="B27" s="5" t="s">
        <v>29</v>
      </c>
      <c r="C27" s="6">
        <v>311</v>
      </c>
      <c r="D27" s="7">
        <v>14</v>
      </c>
      <c r="E27" s="8">
        <v>1</v>
      </c>
      <c r="F27" s="8">
        <v>1</v>
      </c>
      <c r="G27" s="9">
        <v>0</v>
      </c>
      <c r="I27" s="5" t="s">
        <v>29</v>
      </c>
      <c r="J27" s="6">
        <v>238</v>
      </c>
      <c r="K27" s="7">
        <v>9</v>
      </c>
      <c r="L27" s="8">
        <v>4</v>
      </c>
      <c r="M27" s="8">
        <v>0</v>
      </c>
      <c r="N27" s="9">
        <v>0</v>
      </c>
    </row>
    <row r="28" spans="2:14" x14ac:dyDescent="0.25">
      <c r="B28" s="5" t="s">
        <v>30</v>
      </c>
      <c r="C28" s="6">
        <v>307</v>
      </c>
      <c r="D28" s="7">
        <v>3</v>
      </c>
      <c r="E28" s="8">
        <v>0</v>
      </c>
      <c r="F28" s="8">
        <v>0</v>
      </c>
      <c r="G28" s="9">
        <v>0</v>
      </c>
      <c r="I28" s="5" t="s">
        <v>30</v>
      </c>
      <c r="J28" s="6">
        <v>248</v>
      </c>
      <c r="K28" s="7">
        <v>6</v>
      </c>
      <c r="L28" s="8">
        <v>4</v>
      </c>
      <c r="M28" s="8">
        <v>1</v>
      </c>
      <c r="N28" s="9">
        <v>0</v>
      </c>
    </row>
    <row r="29" spans="2:14" x14ac:dyDescent="0.25">
      <c r="B29" s="5" t="s">
        <v>31</v>
      </c>
      <c r="C29" s="6">
        <v>242</v>
      </c>
      <c r="D29" s="7">
        <v>1</v>
      </c>
      <c r="E29" s="8">
        <v>1</v>
      </c>
      <c r="F29" s="8">
        <v>0</v>
      </c>
      <c r="G29" s="9">
        <v>0</v>
      </c>
      <c r="I29" s="5" t="s">
        <v>31</v>
      </c>
      <c r="J29" s="6">
        <v>406</v>
      </c>
      <c r="K29" s="7">
        <v>0</v>
      </c>
      <c r="L29" s="8">
        <v>2</v>
      </c>
      <c r="M29" s="8">
        <v>0</v>
      </c>
      <c r="N29" s="9">
        <v>0</v>
      </c>
    </row>
    <row r="30" spans="2:14" x14ac:dyDescent="0.25">
      <c r="B30" s="5" t="s">
        <v>32</v>
      </c>
      <c r="C30" s="6">
        <v>243</v>
      </c>
      <c r="D30" s="7">
        <v>1</v>
      </c>
      <c r="E30" s="8">
        <v>1</v>
      </c>
      <c r="F30" s="8">
        <v>0</v>
      </c>
      <c r="G30" s="9">
        <v>0</v>
      </c>
      <c r="I30" s="5" t="s">
        <v>32</v>
      </c>
      <c r="J30" s="6">
        <v>387</v>
      </c>
      <c r="K30" s="7">
        <v>9</v>
      </c>
      <c r="L30" s="8">
        <v>6</v>
      </c>
      <c r="M30" s="8">
        <v>0</v>
      </c>
      <c r="N30" s="9">
        <v>0</v>
      </c>
    </row>
    <row r="31" spans="2:14" x14ac:dyDescent="0.25">
      <c r="B31" s="5" t="s">
        <v>33</v>
      </c>
      <c r="C31" s="6">
        <v>243</v>
      </c>
      <c r="D31" s="7">
        <v>15</v>
      </c>
      <c r="E31" s="8">
        <v>2</v>
      </c>
      <c r="F31" s="8">
        <v>0</v>
      </c>
      <c r="G31" s="9">
        <v>0</v>
      </c>
      <c r="I31" s="5" t="s">
        <v>33</v>
      </c>
      <c r="J31" s="6">
        <v>292</v>
      </c>
      <c r="K31" s="7">
        <v>14</v>
      </c>
      <c r="L31" s="8">
        <v>1</v>
      </c>
      <c r="M31" s="8">
        <v>1</v>
      </c>
      <c r="N31" s="9">
        <v>0</v>
      </c>
    </row>
    <row r="32" spans="2:14" x14ac:dyDescent="0.25">
      <c r="B32" s="5" t="s">
        <v>34</v>
      </c>
      <c r="C32" s="6">
        <v>234</v>
      </c>
      <c r="D32" s="7">
        <v>4</v>
      </c>
      <c r="E32" s="8">
        <v>1</v>
      </c>
      <c r="F32" s="8">
        <v>1</v>
      </c>
      <c r="G32" s="9">
        <v>0</v>
      </c>
      <c r="I32" s="5" t="s">
        <v>34</v>
      </c>
      <c r="J32" s="6">
        <v>221</v>
      </c>
      <c r="K32" s="7">
        <v>7</v>
      </c>
      <c r="L32" s="8">
        <v>1</v>
      </c>
      <c r="M32" s="8">
        <v>0</v>
      </c>
      <c r="N32" s="9">
        <v>0</v>
      </c>
    </row>
    <row r="33" spans="2:14" x14ac:dyDescent="0.25">
      <c r="B33" s="5" t="s">
        <v>35</v>
      </c>
      <c r="C33" s="6"/>
      <c r="D33" s="7"/>
      <c r="E33" s="8"/>
      <c r="F33" s="8"/>
      <c r="G33" s="9"/>
      <c r="I33" s="5" t="s">
        <v>35</v>
      </c>
      <c r="J33" s="6"/>
      <c r="K33" s="7"/>
      <c r="L33" s="8"/>
      <c r="M33" s="8"/>
      <c r="N33" s="9"/>
    </row>
    <row r="34" spans="2:14" x14ac:dyDescent="0.25">
      <c r="B34" s="5" t="s">
        <v>36</v>
      </c>
      <c r="C34" s="6"/>
      <c r="D34" s="7"/>
      <c r="E34" s="8"/>
      <c r="F34" s="8"/>
      <c r="G34" s="9"/>
      <c r="I34" s="5" t="s">
        <v>36</v>
      </c>
      <c r="J34" s="6"/>
      <c r="K34" s="7"/>
      <c r="L34" s="8"/>
      <c r="M34" s="8"/>
      <c r="N34" s="9"/>
    </row>
    <row r="35" spans="2:14" x14ac:dyDescent="0.25">
      <c r="B35" s="5" t="s">
        <v>37</v>
      </c>
      <c r="C35" s="6"/>
      <c r="D35" s="7"/>
      <c r="E35" s="8"/>
      <c r="F35" s="8"/>
      <c r="G35" s="9"/>
      <c r="I35" s="5" t="s">
        <v>37</v>
      </c>
      <c r="J35" s="6"/>
      <c r="K35" s="7"/>
      <c r="L35" s="8"/>
      <c r="M35" s="8"/>
      <c r="N35" s="9"/>
    </row>
    <row r="36" spans="2:14" x14ac:dyDescent="0.25">
      <c r="B36" s="5" t="s">
        <v>38</v>
      </c>
      <c r="C36" s="6"/>
      <c r="D36" s="7"/>
      <c r="E36" s="8"/>
      <c r="F36" s="8"/>
      <c r="G36" s="9"/>
      <c r="I36" s="5" t="s">
        <v>38</v>
      </c>
      <c r="J36" s="6"/>
      <c r="K36" s="7"/>
      <c r="L36" s="8"/>
      <c r="M36" s="8"/>
      <c r="N36" s="9"/>
    </row>
    <row r="37" spans="2:14" x14ac:dyDescent="0.25">
      <c r="B37" s="5" t="s">
        <v>39</v>
      </c>
      <c r="C37" s="6"/>
      <c r="D37" s="7"/>
      <c r="E37" s="8"/>
      <c r="F37" s="8"/>
      <c r="G37" s="9"/>
      <c r="I37" s="5" t="s">
        <v>39</v>
      </c>
      <c r="J37" s="6"/>
      <c r="K37" s="7"/>
      <c r="L37" s="8"/>
      <c r="M37" s="8"/>
      <c r="N37" s="9"/>
    </row>
    <row r="38" spans="2:14" x14ac:dyDescent="0.25">
      <c r="B38" s="5" t="s">
        <v>40</v>
      </c>
      <c r="C38" s="6"/>
      <c r="D38" s="7"/>
      <c r="E38" s="8"/>
      <c r="F38" s="8"/>
      <c r="G38" s="9"/>
      <c r="I38" s="5" t="s">
        <v>40</v>
      </c>
      <c r="J38" s="6"/>
      <c r="K38" s="7"/>
      <c r="L38" s="8"/>
      <c r="M38" s="8"/>
      <c r="N38" s="9"/>
    </row>
    <row r="39" spans="2:14" x14ac:dyDescent="0.25">
      <c r="B39" s="5" t="s">
        <v>41</v>
      </c>
      <c r="C39" s="6"/>
      <c r="D39" s="7"/>
      <c r="E39" s="8"/>
      <c r="F39" s="8"/>
      <c r="G39" s="9"/>
      <c r="I39" s="5" t="s">
        <v>41</v>
      </c>
      <c r="J39" s="6"/>
      <c r="K39" s="7"/>
      <c r="L39" s="8"/>
      <c r="M39" s="8"/>
      <c r="N39" s="9"/>
    </row>
    <row r="40" spans="2:14" x14ac:dyDescent="0.25">
      <c r="B40" s="5" t="s">
        <v>42</v>
      </c>
      <c r="C40" s="6"/>
      <c r="D40" s="7"/>
      <c r="E40" s="8"/>
      <c r="F40" s="8"/>
      <c r="G40" s="9"/>
      <c r="I40" s="5" t="s">
        <v>42</v>
      </c>
      <c r="J40" s="6"/>
      <c r="K40" s="7"/>
      <c r="L40" s="8"/>
      <c r="M40" s="8"/>
      <c r="N40" s="9"/>
    </row>
    <row r="41" spans="2:14" x14ac:dyDescent="0.25">
      <c r="B41" s="5" t="s">
        <v>43</v>
      </c>
      <c r="C41" s="6"/>
      <c r="D41" s="7"/>
      <c r="E41" s="8"/>
      <c r="F41" s="8"/>
      <c r="G41" s="9"/>
      <c r="I41" s="5" t="s">
        <v>43</v>
      </c>
      <c r="J41" s="6"/>
      <c r="K41" s="7"/>
      <c r="L41" s="8"/>
      <c r="M41" s="8"/>
      <c r="N41" s="9"/>
    </row>
    <row r="42" spans="2:14" x14ac:dyDescent="0.25">
      <c r="B42" s="5" t="s">
        <v>44</v>
      </c>
      <c r="C42" s="6"/>
      <c r="D42" s="7"/>
      <c r="E42" s="8"/>
      <c r="F42" s="8"/>
      <c r="G42" s="9"/>
      <c r="I42" s="5" t="s">
        <v>44</v>
      </c>
      <c r="J42" s="6"/>
      <c r="K42" s="7"/>
      <c r="L42" s="8"/>
      <c r="M42" s="8"/>
      <c r="N42" s="9"/>
    </row>
    <row r="43" spans="2:14" x14ac:dyDescent="0.25">
      <c r="B43" s="5" t="s">
        <v>45</v>
      </c>
      <c r="C43" s="6"/>
      <c r="D43" s="7"/>
      <c r="E43" s="8"/>
      <c r="F43" s="8"/>
      <c r="G43" s="9"/>
      <c r="I43" s="5" t="s">
        <v>45</v>
      </c>
      <c r="J43" s="6"/>
      <c r="K43" s="7"/>
      <c r="L43" s="8"/>
      <c r="M43" s="8"/>
      <c r="N43" s="9"/>
    </row>
    <row r="44" spans="2:14" x14ac:dyDescent="0.25">
      <c r="B44" s="5" t="s">
        <v>46</v>
      </c>
      <c r="C44" s="6"/>
      <c r="D44" s="7"/>
      <c r="E44" s="8"/>
      <c r="F44" s="8"/>
      <c r="G44" s="9"/>
      <c r="I44" s="5" t="s">
        <v>46</v>
      </c>
      <c r="J44" s="6"/>
      <c r="K44" s="7"/>
      <c r="L44" s="8"/>
      <c r="M44" s="8"/>
      <c r="N44" s="9"/>
    </row>
    <row r="45" spans="2:14" x14ac:dyDescent="0.25">
      <c r="B45" s="5" t="s">
        <v>47</v>
      </c>
      <c r="C45" s="6"/>
      <c r="D45" s="7"/>
      <c r="E45" s="8"/>
      <c r="F45" s="8"/>
      <c r="G45" s="9"/>
      <c r="I45" s="5" t="s">
        <v>47</v>
      </c>
      <c r="J45" s="6"/>
      <c r="K45" s="7"/>
      <c r="L45" s="8"/>
      <c r="M45" s="8"/>
      <c r="N45" s="9"/>
    </row>
    <row r="46" spans="2:14" x14ac:dyDescent="0.25">
      <c r="B46" s="5" t="s">
        <v>48</v>
      </c>
      <c r="C46" s="6"/>
      <c r="D46" s="7"/>
      <c r="E46" s="8"/>
      <c r="F46" s="8"/>
      <c r="G46" s="9"/>
      <c r="I46" s="5" t="s">
        <v>48</v>
      </c>
      <c r="J46" s="6"/>
      <c r="K46" s="7"/>
      <c r="L46" s="8"/>
      <c r="M46" s="8"/>
      <c r="N46" s="9"/>
    </row>
    <row r="47" spans="2:14" x14ac:dyDescent="0.25">
      <c r="B47" s="5" t="s">
        <v>49</v>
      </c>
      <c r="C47" s="6"/>
      <c r="D47" s="7"/>
      <c r="E47" s="8"/>
      <c r="F47" s="8"/>
      <c r="G47" s="9"/>
      <c r="I47" s="5" t="s">
        <v>49</v>
      </c>
      <c r="J47" s="6"/>
      <c r="K47" s="7"/>
      <c r="L47" s="8"/>
      <c r="M47" s="8"/>
      <c r="N47" s="9"/>
    </row>
    <row r="48" spans="2:14" x14ac:dyDescent="0.25">
      <c r="B48" s="5" t="s">
        <v>50</v>
      </c>
      <c r="C48" s="6"/>
      <c r="D48" s="7"/>
      <c r="E48" s="8"/>
      <c r="F48" s="8"/>
      <c r="G48" s="9"/>
      <c r="I48" s="5" t="s">
        <v>50</v>
      </c>
      <c r="J48" s="6"/>
      <c r="K48" s="7"/>
      <c r="L48" s="8"/>
      <c r="M48" s="8"/>
      <c r="N48" s="9"/>
    </row>
    <row r="49" spans="2:14" x14ac:dyDescent="0.25">
      <c r="B49" s="5" t="s">
        <v>51</v>
      </c>
      <c r="C49" s="6"/>
      <c r="D49" s="7"/>
      <c r="E49" s="8"/>
      <c r="F49" s="8"/>
      <c r="G49" s="9"/>
      <c r="I49" s="5" t="s">
        <v>51</v>
      </c>
      <c r="J49" s="6"/>
      <c r="K49" s="7"/>
      <c r="L49" s="8"/>
      <c r="M49" s="8"/>
      <c r="N49" s="9"/>
    </row>
    <row r="50" spans="2:14" x14ac:dyDescent="0.25">
      <c r="B50" s="5" t="s">
        <v>52</v>
      </c>
      <c r="C50" s="6"/>
      <c r="D50" s="7"/>
      <c r="E50" s="8"/>
      <c r="F50" s="8"/>
      <c r="G50" s="9"/>
      <c r="I50" s="5" t="s">
        <v>52</v>
      </c>
      <c r="J50" s="6"/>
      <c r="K50" s="7"/>
      <c r="L50" s="8"/>
      <c r="M50" s="8"/>
      <c r="N50" s="9"/>
    </row>
    <row r="51" spans="2:14" x14ac:dyDescent="0.25">
      <c r="B51" s="5" t="s">
        <v>53</v>
      </c>
      <c r="C51" s="6"/>
      <c r="D51" s="7"/>
      <c r="E51" s="8"/>
      <c r="F51" s="8"/>
      <c r="G51" s="9"/>
      <c r="I51" s="5" t="s">
        <v>53</v>
      </c>
      <c r="J51" s="6"/>
      <c r="K51" s="7"/>
      <c r="L51" s="8"/>
      <c r="M51" s="8"/>
      <c r="N51" s="9"/>
    </row>
    <row r="52" spans="2:14" x14ac:dyDescent="0.25">
      <c r="B52" s="5" t="s">
        <v>54</v>
      </c>
      <c r="C52" s="6"/>
      <c r="D52" s="7"/>
      <c r="E52" s="8"/>
      <c r="F52" s="8"/>
      <c r="G52" s="9"/>
      <c r="I52" s="5" t="s">
        <v>54</v>
      </c>
      <c r="J52" s="6"/>
      <c r="K52" s="7"/>
      <c r="L52" s="8"/>
      <c r="M52" s="8"/>
      <c r="N52" s="9"/>
    </row>
    <row r="53" spans="2:14" x14ac:dyDescent="0.25">
      <c r="B53" s="10" t="s">
        <v>55</v>
      </c>
      <c r="C53" s="11">
        <f>C5+C6+C7+C8+C9+C10+C11+C12+C13+C14+C15+C16+C17+C18+C19+C20+C21+C22+C23+C24+C25+C26+C27+C28+C29+C30+C31+C32+C33+C34+C35+C36+C37+C38+C39+C40+C41+C42+C43+C44+C45+C46+C47+C48+C49+C50+C51+C52</f>
        <v>6346</v>
      </c>
      <c r="D53" s="12">
        <f>D5+D6+D7+D8+D9+D10+D11+D12+D13+D14+D15+D16+D17+D18+D19+D20+D21+D22+D23+D24+D25+D26+D27+D28+D29+D30+D31+D32+D33+D34+D35+D36+D37+D38+D39+D40+D41+D42+D43+D44+D45+D46+D47+D48+D49+D50+D51+D52</f>
        <v>185</v>
      </c>
      <c r="E53" s="13">
        <f>E5+E6+E7+E8+E9+E10+E11+E12+E13+E14+E15+E16+E17+E18+E19+E20+E21+E22+E23+E24+E25+E26+E27+E28+E29+E30+E31+E32+E33+E34+E35+E36+E37+E38+E39+E40+E41+E42+E43+E44+E45+E46+E47+E48+E49+E50+E51+E52</f>
        <v>60</v>
      </c>
      <c r="F53" s="13">
        <f>F5+F6+F7+F8+F9+F10+F11+F12+F13+F14+F15+F16+F17+F18+F19+F20+F21+F22+F23+F24+F25+F26+F27+F28+F29+F30+F31+F32+F33+F34+F35+F36+F37+F38+F39+F40+F41+F42+F43+F44+F45+F46+F47+F48+F49+F50+F51+F52</f>
        <v>90</v>
      </c>
      <c r="G53" s="14">
        <f>G5+G6+G7+G8+G9+G10+G11+G12+G13+G14+G15+G16+G17+G18+G19+G20+G21+G22+G23+G24+G25+G26+G27+G28+G29+G30+G31+G32+G33+G34+G35+G36+G37+G38+G39+G40+G41+G42+G43+G44+G45+G46+G47+G48+G49+G50+G51+G52</f>
        <v>0</v>
      </c>
      <c r="I53" s="10" t="s">
        <v>55</v>
      </c>
      <c r="J53" s="11">
        <f>J5+J6+J7+J8+J9+J10+J11+J12+J13+J14+J15+J16+J17+J18+J19+J20+J21+J22+J23+J24+J25+J26+J27+J28+J29+J30+J31+J32+J33+J34+J35+J36+J37+J38+J39+J40+J41+J42+J43+J44+J45+J46+J47+J48+J49+J50+J51+J52</f>
        <v>6881</v>
      </c>
      <c r="K53" s="12">
        <f>K5+K6+K7+K8+K9+K10+K11+K12+K13+K14+K15+K16+K17+K18+K19+K20+K21+K22+K23+K24+K25+K26+K27+K28+K29+K30+K31+K32+K33+K34+K35+K36+K37+K38+K39+K40+K41+K42+K43+K44+K45+K46+K47+K48+K49+K50+K51+K52</f>
        <v>166</v>
      </c>
      <c r="L53" s="13">
        <f>L5+L6+L7+L8+L9+L10+L11+L12+L13+L14+L15+L16+L17+L18+L19+L20+L21+L22+L23+L24+L25+L26+L27+L28+L29+L30+L31+L32+L33+L34+L35+L36+L37+L38+L39+L40+L41+L42+L43+L44+L45+L46+L47+L48+L49+L50+L51+L52</f>
        <v>124</v>
      </c>
      <c r="M53" s="13">
        <f>M5+M6+M7+M8+M9+M10+M11+M12+M13+M14+M15+M16+M17+M18+M19+M20+M21+M22+M23+M24+M25+M26+M27+M28+M29+M30+M31+M32+M33+M34+M35+M36+M37+M38+M39+M40+M41+M42+M43+M44+M45+M46+M47+M48+M49+M50+M51+M52</f>
        <v>47</v>
      </c>
      <c r="N53" s="14">
        <f>N5+N6+N7+N8+N9+N10+N11+N12+N13+N14+N15+N16+N17+N18+N19+N20+N21+N22+N23+N24+N25+N26+N27+N28+N29+N30+N31+N32+N33+N34+N35+N36+N37+N38+N39+N40+N41+N42+N43+N44+N45+N46+N47+N48+N49+N50+N51+N52</f>
        <v>1</v>
      </c>
    </row>
    <row r="54" spans="2:14" ht="15.75" thickBot="1" x14ac:dyDescent="0.3">
      <c r="B54" s="15" t="s">
        <v>56</v>
      </c>
      <c r="C54" s="24">
        <f>C53+D53+G53+E53+F53</f>
        <v>6681</v>
      </c>
      <c r="D54" s="25"/>
      <c r="E54" s="25"/>
      <c r="F54" s="25"/>
      <c r="G54" s="26"/>
      <c r="I54" s="15" t="s">
        <v>56</v>
      </c>
      <c r="J54" s="24">
        <f>J53+K53+N53+L53+M53</f>
        <v>7219</v>
      </c>
      <c r="K54" s="25"/>
      <c r="L54" s="25"/>
      <c r="M54" s="25"/>
      <c r="N54" s="26"/>
    </row>
  </sheetData>
  <mergeCells count="8">
    <mergeCell ref="B2:G2"/>
    <mergeCell ref="B3:B4"/>
    <mergeCell ref="C3:G3"/>
    <mergeCell ref="C54:G54"/>
    <mergeCell ref="I2:N2"/>
    <mergeCell ref="I3:I4"/>
    <mergeCell ref="J3:N3"/>
    <mergeCell ref="J54:N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Apia Ingenieria</dc:creator>
  <cp:lastModifiedBy>Apia Ingenieria</cp:lastModifiedBy>
  <dcterms:created xsi:type="dcterms:W3CDTF">2026-09-21T20:11:06Z</dcterms:created>
  <dcterms:modified xsi:type="dcterms:W3CDTF">2026-09-25T15:55:03Z</dcterms:modified>
</cp:coreProperties>
</file>